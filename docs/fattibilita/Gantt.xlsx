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omi\Desktop\focusFlow\docs\fattibilita\"/>
    </mc:Choice>
  </mc:AlternateContent>
  <xr:revisionPtr revIDLastSave="0" documentId="13_ncr:1_{0F6DBBD4-B5A5-495D-AE4F-15FFF29A7366}" xr6:coauthVersionLast="47" xr6:coauthVersionMax="47" xr10:uidLastSave="{00000000-0000-0000-0000-000000000000}"/>
  <bookViews>
    <workbookView xWindow="-110" yWindow="-110" windowWidth="19420" windowHeight="10420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6" i="1" l="1"/>
  <c r="AT36" i="1" s="1"/>
  <c r="AU36" i="1" s="1"/>
  <c r="AS35" i="1"/>
  <c r="AT35" i="1" s="1"/>
  <c r="AU35" i="1" s="1"/>
  <c r="AS29" i="1"/>
  <c r="AT29" i="1" s="1"/>
  <c r="AU29" i="1" s="1"/>
  <c r="AS31" i="1"/>
  <c r="AT31" i="1" s="1"/>
  <c r="AU31" i="1" s="1"/>
  <c r="AS33" i="1"/>
  <c r="AT33" i="1" s="1"/>
  <c r="AU33" i="1" s="1"/>
  <c r="AS27" i="1"/>
  <c r="AT27" i="1" s="1"/>
  <c r="AU27" i="1" s="1"/>
  <c r="AS24" i="1"/>
  <c r="AT24" i="1" s="1"/>
  <c r="AU24" i="1" s="1"/>
  <c r="AS25" i="1"/>
  <c r="AT25" i="1" s="1"/>
  <c r="AU25" i="1" s="1"/>
  <c r="AS23" i="1"/>
  <c r="AT23" i="1" s="1"/>
  <c r="AU23" i="1" s="1"/>
  <c r="AS21" i="1"/>
  <c r="AT21" i="1" s="1"/>
  <c r="AU21" i="1" s="1"/>
  <c r="AS20" i="1"/>
  <c r="AT20" i="1" s="1"/>
  <c r="AU20" i="1" s="1"/>
  <c r="AS18" i="1"/>
  <c r="AT18" i="1" s="1"/>
  <c r="AU18" i="1" s="1"/>
  <c r="AS10" i="1"/>
  <c r="AT10" i="1" s="1"/>
  <c r="AU10" i="1" s="1"/>
  <c r="AS8" i="1"/>
  <c r="AT8" i="1" s="1"/>
  <c r="AU8" i="1" s="1"/>
  <c r="AS9" i="1"/>
  <c r="AS11" i="1"/>
  <c r="AT11" i="1" s="1"/>
  <c r="AU11" i="1" s="1"/>
  <c r="AS12" i="1"/>
  <c r="AT12" i="1" s="1"/>
  <c r="AU12" i="1" s="1"/>
  <c r="AS13" i="1"/>
  <c r="AT13" i="1" s="1"/>
  <c r="AU13" i="1" s="1"/>
  <c r="AS14" i="1"/>
  <c r="AT14" i="1" s="1"/>
  <c r="AU14" i="1" s="1"/>
  <c r="AS16" i="1"/>
  <c r="AT16" i="1" s="1"/>
  <c r="AU16" i="1" s="1"/>
  <c r="AS17" i="1"/>
  <c r="AT17" i="1" s="1"/>
  <c r="AU17" i="1" s="1"/>
  <c r="AS37" i="1"/>
  <c r="AT37" i="1" s="1"/>
  <c r="AU37" i="1" s="1"/>
  <c r="AS38" i="1"/>
  <c r="AT38" i="1" s="1"/>
  <c r="AU38" i="1" s="1"/>
  <c r="AS39" i="1"/>
  <c r="AT39" i="1" s="1"/>
  <c r="AU39" i="1" s="1"/>
  <c r="AS40" i="1"/>
  <c r="AT40" i="1" s="1"/>
  <c r="AU40" i="1" s="1"/>
  <c r="AS41" i="1"/>
  <c r="AT41" i="1" s="1"/>
  <c r="AU41" i="1" s="1"/>
  <c r="AS42" i="1"/>
  <c r="AT42" i="1" s="1"/>
  <c r="AU42" i="1" s="1"/>
  <c r="AS43" i="1"/>
  <c r="AT43" i="1" s="1"/>
  <c r="AU43" i="1" s="1"/>
  <c r="I8" i="1"/>
  <c r="AD3" i="1"/>
  <c r="M3" i="1"/>
  <c r="AQ3" i="1"/>
  <c r="AM3" i="1"/>
  <c r="AI3" i="1"/>
  <c r="Z3" i="1"/>
  <c r="V3" i="1"/>
  <c r="Q3" i="1"/>
  <c r="I3" i="1"/>
  <c r="AS47" i="1" l="1"/>
  <c r="AT9" i="1"/>
  <c r="AU9" i="1" s="1"/>
  <c r="AU47" i="1" s="1"/>
  <c r="AT47" i="1" l="1"/>
</calcChain>
</file>

<file path=xl/sharedStrings.xml><?xml version="1.0" encoding="utf-8"?>
<sst xmlns="http://schemas.openxmlformats.org/spreadsheetml/2006/main" count="89" uniqueCount="65">
  <si>
    <t>TASK</t>
  </si>
  <si>
    <t xml:space="preserve">START </t>
  </si>
  <si>
    <t>END</t>
  </si>
  <si>
    <t>Week</t>
  </si>
  <si>
    <t>Month</t>
  </si>
  <si>
    <t>Days</t>
  </si>
  <si>
    <t>Intro</t>
  </si>
  <si>
    <t>Marketing</t>
  </si>
  <si>
    <t>Selling</t>
  </si>
  <si>
    <t>%</t>
  </si>
  <si>
    <t>ASSIGNED</t>
  </si>
  <si>
    <t>A</t>
  </si>
  <si>
    <t>B</t>
  </si>
  <si>
    <t>C</t>
  </si>
  <si>
    <t>Project Start: 6 October 2025</t>
  </si>
  <si>
    <t>Gantt v1.0.0</t>
  </si>
  <si>
    <t>Componenti:</t>
  </si>
  <si>
    <t>D</t>
  </si>
  <si>
    <t>€/h</t>
  </si>
  <si>
    <t>Costo Risorse Esterne:</t>
  </si>
  <si>
    <t>Costo Risorse Interne:</t>
  </si>
  <si>
    <t>Hours x Week:</t>
  </si>
  <si>
    <t>h</t>
  </si>
  <si>
    <t>Cost €</t>
  </si>
  <si>
    <t>Hours #</t>
  </si>
  <si>
    <t>Weeks #</t>
  </si>
  <si>
    <t xml:space="preserve">  Creazione idea progetto</t>
  </si>
  <si>
    <t xml:space="preserve">  Documentazione iniziale</t>
  </si>
  <si>
    <t>A,B</t>
  </si>
  <si>
    <t>Giorgio Cominelli</t>
  </si>
  <si>
    <t>Simone Scainelli</t>
  </si>
  <si>
    <t xml:space="preserve">  Analisi fattibilità</t>
  </si>
  <si>
    <t>A - B</t>
  </si>
  <si>
    <t xml:space="preserve"> Revisione progetto</t>
  </si>
  <si>
    <t>Development Setup</t>
  </si>
  <si>
    <t xml:space="preserve">  Setup ambiente</t>
  </si>
  <si>
    <t xml:space="preserve">  Struttura progetto</t>
  </si>
  <si>
    <t>Development Autenticazione</t>
  </si>
  <si>
    <t xml:space="preserve">  Sistemazione login base</t>
  </si>
  <si>
    <t xml:space="preserve">  Registrazione utenti</t>
  </si>
  <si>
    <t xml:space="preserve">  Gestione ruoli</t>
  </si>
  <si>
    <t>Development Profili</t>
  </si>
  <si>
    <t xml:space="preserve">  Modello utenti</t>
  </si>
  <si>
    <t>Development Appuntamenti</t>
  </si>
  <si>
    <t>Development Documenti</t>
  </si>
  <si>
    <t>Development Interfaccia</t>
  </si>
  <si>
    <t>Development Messaggi</t>
  </si>
  <si>
    <t>Development Note cliente</t>
  </si>
  <si>
    <t>Testing</t>
  </si>
  <si>
    <t xml:space="preserve">  Sistema messaggi base</t>
  </si>
  <si>
    <t xml:space="preserve"> Gestione note</t>
  </si>
  <si>
    <t xml:space="preserve">  Upload e download file</t>
  </si>
  <si>
    <t xml:space="preserve">  Dashboard base</t>
  </si>
  <si>
    <t xml:space="preserve">  Test funzionalità</t>
  </si>
  <si>
    <t xml:space="preserve">  Raccolta feedback</t>
  </si>
  <si>
    <t xml:space="preserve">  Correzione bug</t>
  </si>
  <si>
    <t xml:space="preserve">  Preparazione presentazione</t>
  </si>
  <si>
    <t xml:space="preserve">  Creazione slide</t>
  </si>
  <si>
    <t xml:space="preserve">  Demo finale</t>
  </si>
  <si>
    <t xml:space="preserve">  Profilo personale</t>
  </si>
  <si>
    <t xml:space="preserve">  Database appunti</t>
  </si>
  <si>
    <t xml:space="preserve">  Sistema Mmonitoraggio</t>
  </si>
  <si>
    <t xml:space="preserve">  Gestione attivita</t>
  </si>
  <si>
    <t xml:space="preserve">  Zoom con paziente di adhd</t>
  </si>
  <si>
    <t>FocusFlow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</si>
</sst>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56"/>
  <sheetViews>
    <sheetView showGridLines="0" tabSelected="1" topLeftCell="AB31" zoomScale="55" zoomScaleNormal="55" workbookViewId="0">
      <selection activeCell="D4" sqref="D4"/>
    </sheetView>
  </sheetViews>
  <sheetFormatPr defaultRowHeight="14.5"/>
  <cols>
    <col min="1" max="1" width="2.36328125" customWidth="1"/>
    <col min="2" max="2" width="6.08984375" customWidth="1"/>
    <col min="3" max="3" width="25.453125" bestFit="1" customWidth="1"/>
    <col min="4" max="4" width="13.1796875" customWidth="1"/>
    <col min="5" max="5" width="9.453125" customWidth="1"/>
    <col min="6" max="6" width="10.453125" customWidth="1"/>
    <col min="7" max="7" width="10.6328125" customWidth="1"/>
    <col min="9" max="9" width="5.54296875" style="1" customWidth="1"/>
    <col min="10" max="43" width="6.81640625" style="1" customWidth="1"/>
    <col min="45" max="49" width="13.81640625" customWidth="1"/>
  </cols>
  <sheetData>
    <row r="2" spans="3:47" ht="27" customHeight="1">
      <c r="C2" s="65" t="s">
        <v>64</v>
      </c>
      <c r="D2" s="65"/>
      <c r="E2" s="3"/>
    </row>
    <row r="3" spans="3:47">
      <c r="C3" s="61" t="s">
        <v>14</v>
      </c>
      <c r="D3" s="61"/>
      <c r="H3" s="15" t="s">
        <v>4</v>
      </c>
      <c r="I3" s="62" t="str">
        <f>TEXT(I5,"MMM")</f>
        <v>ott</v>
      </c>
      <c r="J3" s="63"/>
      <c r="K3" s="63"/>
      <c r="L3" s="64"/>
      <c r="M3" s="62" t="str">
        <f>TEXT(M5,"MMM")</f>
        <v>nov</v>
      </c>
      <c r="N3" s="63"/>
      <c r="O3" s="63"/>
      <c r="P3" s="64"/>
      <c r="Q3" s="62" t="str">
        <f>TEXT(Q5,"MMM")</f>
        <v>dic</v>
      </c>
      <c r="R3" s="63"/>
      <c r="S3" s="63"/>
      <c r="T3" s="63"/>
      <c r="U3" s="7"/>
      <c r="V3" s="62" t="str">
        <f>TEXT(V5,"MMM")</f>
        <v>gen</v>
      </c>
      <c r="W3" s="63"/>
      <c r="X3" s="63"/>
      <c r="Y3" s="64"/>
      <c r="Z3" s="62" t="str">
        <f>TEXT(Z5,"MMM")</f>
        <v>feb</v>
      </c>
      <c r="AA3" s="63"/>
      <c r="AB3" s="63"/>
      <c r="AC3" s="64"/>
      <c r="AD3" s="62" t="str">
        <f>TEXT(AD5,"MMM")</f>
        <v>mar</v>
      </c>
      <c r="AE3" s="63"/>
      <c r="AF3" s="63"/>
      <c r="AG3" s="63"/>
      <c r="AH3" s="7"/>
      <c r="AI3" s="62" t="str">
        <f>TEXT(AI5,"MMM")</f>
        <v>apr</v>
      </c>
      <c r="AJ3" s="63"/>
      <c r="AK3" s="63"/>
      <c r="AL3" s="64"/>
      <c r="AM3" s="62" t="str">
        <f>TEXT(AM5,"MMM")</f>
        <v>mag</v>
      </c>
      <c r="AN3" s="63"/>
      <c r="AO3" s="63"/>
      <c r="AP3" s="64"/>
      <c r="AQ3" s="6" t="str">
        <f>TEXT(AQ5,"MMM")</f>
        <v>giu</v>
      </c>
    </row>
    <row r="4" spans="3:47">
      <c r="C4" t="s">
        <v>15</v>
      </c>
      <c r="H4" s="16" t="s">
        <v>3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>
      <c r="H5" s="17" t="s">
        <v>5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9" t="s">
        <v>25</v>
      </c>
      <c r="AT5" s="53" t="s">
        <v>24</v>
      </c>
      <c r="AU5" s="50" t="s">
        <v>23</v>
      </c>
    </row>
    <row r="6" spans="3:47" ht="21" customHeight="1">
      <c r="C6" s="36" t="s">
        <v>0</v>
      </c>
      <c r="D6" s="36" t="s">
        <v>10</v>
      </c>
      <c r="E6" s="36" t="s">
        <v>9</v>
      </c>
      <c r="F6" s="37" t="s">
        <v>1</v>
      </c>
      <c r="G6" s="37" t="s">
        <v>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" customHeight="1">
      <c r="C7" s="34" t="s">
        <v>6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>
      <c r="C8" s="33" t="s">
        <v>26</v>
      </c>
      <c r="D8" s="58" t="s">
        <v>32</v>
      </c>
      <c r="E8" s="27">
        <v>1</v>
      </c>
      <c r="F8" s="30">
        <v>45936</v>
      </c>
      <c r="G8" s="30">
        <v>45943</v>
      </c>
      <c r="H8" s="25"/>
      <c r="I8" s="25">
        <f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 t="shared" ref="AS8:AS43" si="0">INT((G8-F8)/7)</f>
        <v>1</v>
      </c>
      <c r="AT8" s="54">
        <f t="shared" ref="AT8:AT14" si="1">AS8*$D$53</f>
        <v>3</v>
      </c>
      <c r="AU8" s="56">
        <f t="shared" ref="AU8:AU14" si="2">AT8*$D$54</f>
        <v>45</v>
      </c>
    </row>
    <row r="9" spans="3:47" ht="21" customHeight="1">
      <c r="C9" s="33" t="s">
        <v>27</v>
      </c>
      <c r="D9" s="58" t="s">
        <v>11</v>
      </c>
      <c r="E9" s="27">
        <v>1</v>
      </c>
      <c r="F9" s="30">
        <v>45943</v>
      </c>
      <c r="G9" s="30">
        <v>45950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>
        <f t="shared" si="0"/>
        <v>1</v>
      </c>
      <c r="AT9" s="54">
        <f t="shared" si="1"/>
        <v>3</v>
      </c>
      <c r="AU9" s="56">
        <f t="shared" si="2"/>
        <v>45</v>
      </c>
    </row>
    <row r="10" spans="3:47" ht="21" customHeight="1">
      <c r="C10" s="33" t="s">
        <v>31</v>
      </c>
      <c r="D10" s="58" t="s">
        <v>11</v>
      </c>
      <c r="E10" s="27">
        <v>1</v>
      </c>
      <c r="F10" s="30">
        <v>45950</v>
      </c>
      <c r="G10" s="30">
        <v>45957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0"/>
        <v>1</v>
      </c>
      <c r="AT10" s="54">
        <f t="shared" si="1"/>
        <v>3</v>
      </c>
      <c r="AU10" s="56">
        <f t="shared" si="2"/>
        <v>45</v>
      </c>
    </row>
    <row r="11" spans="3:47" ht="21" customHeight="1">
      <c r="C11" s="33" t="s">
        <v>33</v>
      </c>
      <c r="D11" s="58" t="s">
        <v>32</v>
      </c>
      <c r="E11" s="27">
        <v>1</v>
      </c>
      <c r="F11" s="30">
        <v>45957</v>
      </c>
      <c r="G11" s="30">
        <v>45964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0"/>
        <v>1</v>
      </c>
      <c r="AT11" s="54">
        <f t="shared" si="1"/>
        <v>3</v>
      </c>
      <c r="AU11" s="56">
        <f t="shared" si="2"/>
        <v>45</v>
      </c>
    </row>
    <row r="12" spans="3:47" ht="25" customHeight="1">
      <c r="C12" s="35" t="s">
        <v>34</v>
      </c>
      <c r="D12" s="35"/>
      <c r="E12" s="31"/>
      <c r="F12" s="32"/>
      <c r="G12" s="32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 t="shared" si="0"/>
        <v>0</v>
      </c>
      <c r="AT12" s="54">
        <f t="shared" si="1"/>
        <v>0</v>
      </c>
      <c r="AU12" s="56">
        <f t="shared" si="2"/>
        <v>0</v>
      </c>
    </row>
    <row r="13" spans="3:47" ht="21" customHeight="1">
      <c r="C13" s="33" t="s">
        <v>35</v>
      </c>
      <c r="D13" s="58" t="s">
        <v>12</v>
      </c>
      <c r="E13" s="27">
        <v>1</v>
      </c>
      <c r="F13" s="30">
        <v>45964</v>
      </c>
      <c r="G13" s="30">
        <v>45971</v>
      </c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0"/>
        <v>1</v>
      </c>
      <c r="AT13" s="54">
        <f t="shared" si="1"/>
        <v>3</v>
      </c>
      <c r="AU13" s="56">
        <f t="shared" si="2"/>
        <v>45</v>
      </c>
    </row>
    <row r="14" spans="3:47" ht="21" customHeight="1">
      <c r="C14" s="33" t="s">
        <v>36</v>
      </c>
      <c r="D14" s="58" t="s">
        <v>12</v>
      </c>
      <c r="E14" s="27">
        <v>1</v>
      </c>
      <c r="F14" s="30">
        <v>45971</v>
      </c>
      <c r="G14" s="30">
        <v>45978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0"/>
        <v>1</v>
      </c>
      <c r="AT14" s="54">
        <f t="shared" si="1"/>
        <v>3</v>
      </c>
      <c r="AU14" s="56">
        <f t="shared" si="2"/>
        <v>45</v>
      </c>
    </row>
    <row r="15" spans="3:47" ht="21" customHeight="1">
      <c r="C15" s="35" t="s">
        <v>37</v>
      </c>
      <c r="D15" s="58"/>
      <c r="E15" s="27"/>
      <c r="F15" s="30"/>
      <c r="G15" s="30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/>
      <c r="AT15" s="54"/>
      <c r="AU15" s="56"/>
    </row>
    <row r="16" spans="3:47" ht="21" customHeight="1">
      <c r="C16" s="33" t="s">
        <v>38</v>
      </c>
      <c r="D16" s="58" t="s">
        <v>12</v>
      </c>
      <c r="E16" s="27">
        <v>1</v>
      </c>
      <c r="F16" s="30">
        <v>45978</v>
      </c>
      <c r="G16" s="30">
        <v>45985</v>
      </c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0"/>
        <v>1</v>
      </c>
      <c r="AT16" s="54">
        <f>AS16*$D$53</f>
        <v>3</v>
      </c>
      <c r="AU16" s="56">
        <f>AT16*$D$54</f>
        <v>45</v>
      </c>
    </row>
    <row r="17" spans="3:47" ht="21" customHeight="1">
      <c r="C17" s="33" t="s">
        <v>39</v>
      </c>
      <c r="D17" s="58" t="s">
        <v>11</v>
      </c>
      <c r="E17" s="27">
        <v>1</v>
      </c>
      <c r="F17" s="30">
        <v>45985</v>
      </c>
      <c r="G17" s="30">
        <v>45992</v>
      </c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0"/>
        <v>1</v>
      </c>
      <c r="AT17" s="54">
        <f>AS17*$D$53</f>
        <v>3</v>
      </c>
      <c r="AU17" s="56">
        <f>AT17*$D$54</f>
        <v>45</v>
      </c>
    </row>
    <row r="18" spans="3:47" ht="21" customHeight="1">
      <c r="C18" s="33" t="s">
        <v>40</v>
      </c>
      <c r="D18" s="58" t="s">
        <v>11</v>
      </c>
      <c r="E18" s="27">
        <v>1</v>
      </c>
      <c r="F18" s="30">
        <v>45992</v>
      </c>
      <c r="G18" s="30">
        <v>45999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ref="AS18" si="3">INT((G18-F18)/7)</f>
        <v>1</v>
      </c>
      <c r="AT18" s="54">
        <f>AS18*$D$53</f>
        <v>3</v>
      </c>
      <c r="AU18" s="56">
        <f>AT18*$D$54</f>
        <v>45</v>
      </c>
    </row>
    <row r="19" spans="3:47" ht="21" customHeight="1">
      <c r="C19" s="35" t="s">
        <v>41</v>
      </c>
      <c r="D19" s="58"/>
      <c r="E19" s="27"/>
      <c r="F19" s="30"/>
      <c r="G19" s="30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/>
      <c r="AT19" s="54"/>
      <c r="AU19" s="56"/>
    </row>
    <row r="20" spans="3:47" ht="21" customHeight="1">
      <c r="C20" s="33" t="s">
        <v>42</v>
      </c>
      <c r="D20" s="58" t="s">
        <v>12</v>
      </c>
      <c r="E20" s="27">
        <v>1</v>
      </c>
      <c r="F20" s="30">
        <v>45999</v>
      </c>
      <c r="G20" s="30">
        <v>46006</v>
      </c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ref="AS20" si="4">INT((G20-F20)/7)</f>
        <v>1</v>
      </c>
      <c r="AT20" s="54">
        <f>AS20*$D$53</f>
        <v>3</v>
      </c>
      <c r="AU20" s="56">
        <f>AT20*$D$54</f>
        <v>45</v>
      </c>
    </row>
    <row r="21" spans="3:47" ht="21" customHeight="1">
      <c r="C21" s="33" t="s">
        <v>59</v>
      </c>
      <c r="D21" s="58" t="s">
        <v>12</v>
      </c>
      <c r="E21" s="27">
        <v>1</v>
      </c>
      <c r="F21" s="30">
        <v>46006</v>
      </c>
      <c r="G21" s="30">
        <v>46013</v>
      </c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ref="AS21" si="5">INT((G21-F21)/7)</f>
        <v>1</v>
      </c>
      <c r="AT21" s="54">
        <f>AS21*$D$53</f>
        <v>3</v>
      </c>
      <c r="AU21" s="56">
        <f>AT21*$D$54</f>
        <v>45</v>
      </c>
    </row>
    <row r="22" spans="3:47" ht="21" customHeight="1">
      <c r="C22" s="35" t="s">
        <v>43</v>
      </c>
      <c r="D22" s="58"/>
      <c r="E22" s="27"/>
      <c r="F22" s="30"/>
      <c r="G22" s="30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/>
      <c r="AT22" s="54"/>
      <c r="AU22" s="56"/>
    </row>
    <row r="23" spans="3:47" ht="21" customHeight="1">
      <c r="C23" s="33" t="s">
        <v>60</v>
      </c>
      <c r="D23" s="58" t="s">
        <v>11</v>
      </c>
      <c r="E23" s="27">
        <v>1</v>
      </c>
      <c r="F23" s="30">
        <v>46027</v>
      </c>
      <c r="G23" s="30">
        <v>46034</v>
      </c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ref="AS23" si="6">INT((G23-F23)/7)</f>
        <v>1</v>
      </c>
      <c r="AT23" s="54">
        <f>AS23*$D$53</f>
        <v>3</v>
      </c>
      <c r="AU23" s="56">
        <f>AT23*$D$54</f>
        <v>45</v>
      </c>
    </row>
    <row r="24" spans="3:47" ht="21" customHeight="1">
      <c r="C24" s="33" t="s">
        <v>61</v>
      </c>
      <c r="D24" s="58" t="s">
        <v>12</v>
      </c>
      <c r="E24" s="27">
        <v>1</v>
      </c>
      <c r="F24" s="30">
        <v>46034</v>
      </c>
      <c r="G24" s="30">
        <v>46041</v>
      </c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ref="AS24:AS27" si="7">INT((G24-F24)/7)</f>
        <v>1</v>
      </c>
      <c r="AT24" s="54">
        <f>AS24*$D$53</f>
        <v>3</v>
      </c>
      <c r="AU24" s="56">
        <f>AT24*$D$54</f>
        <v>45</v>
      </c>
    </row>
    <row r="25" spans="3:47" ht="21" customHeight="1">
      <c r="C25" s="33" t="s">
        <v>62</v>
      </c>
      <c r="D25" s="58" t="s">
        <v>11</v>
      </c>
      <c r="E25" s="27">
        <v>1</v>
      </c>
      <c r="F25" s="30">
        <v>46041</v>
      </c>
      <c r="G25" s="30">
        <v>46048</v>
      </c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 t="shared" si="7"/>
        <v>1</v>
      </c>
      <c r="AT25" s="54">
        <f>AS25*$D$53</f>
        <v>3</v>
      </c>
      <c r="AU25" s="56">
        <f>AT25*$D$54</f>
        <v>45</v>
      </c>
    </row>
    <row r="26" spans="3:47" ht="21" customHeight="1">
      <c r="C26" s="35" t="s">
        <v>46</v>
      </c>
      <c r="D26" s="58"/>
      <c r="E26" s="27"/>
      <c r="F26" s="30"/>
      <c r="G26" s="30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/>
      <c r="AT26" s="54"/>
      <c r="AU26" s="56"/>
    </row>
    <row r="27" spans="3:47" ht="21" customHeight="1">
      <c r="C27" s="33" t="s">
        <v>49</v>
      </c>
      <c r="D27" s="58" t="s">
        <v>12</v>
      </c>
      <c r="E27" s="27">
        <v>1</v>
      </c>
      <c r="F27" s="30">
        <v>46048</v>
      </c>
      <c r="G27" s="30">
        <v>46055</v>
      </c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3"/>
      <c r="AS27" s="8">
        <f t="shared" si="7"/>
        <v>1</v>
      </c>
      <c r="AT27" s="54">
        <f>AS27*$D$53</f>
        <v>3</v>
      </c>
      <c r="AU27" s="56">
        <f>AT27*$D$54</f>
        <v>45</v>
      </c>
    </row>
    <row r="28" spans="3:47" ht="21" customHeight="1">
      <c r="C28" s="35" t="s">
        <v>47</v>
      </c>
      <c r="D28" s="58"/>
      <c r="E28" s="27"/>
      <c r="F28" s="30"/>
      <c r="G28" s="30"/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3"/>
      <c r="AS28" s="8"/>
      <c r="AT28" s="54"/>
      <c r="AU28" s="56"/>
    </row>
    <row r="29" spans="3:47" ht="21" customHeight="1">
      <c r="C29" s="33" t="s">
        <v>50</v>
      </c>
      <c r="D29" s="58" t="s">
        <v>11</v>
      </c>
      <c r="E29" s="27">
        <v>1</v>
      </c>
      <c r="F29" s="30">
        <v>46055</v>
      </c>
      <c r="G29" s="30">
        <v>46062</v>
      </c>
      <c r="H29" s="24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3"/>
      <c r="AS29" s="8">
        <f t="shared" ref="AS29:AS33" si="8">INT((G29-F29)/7)</f>
        <v>1</v>
      </c>
      <c r="AT29" s="54">
        <f>AS29*$D$53</f>
        <v>3</v>
      </c>
      <c r="AU29" s="56">
        <f>AT29*$D$54</f>
        <v>45</v>
      </c>
    </row>
    <row r="30" spans="3:47" ht="21" customHeight="1">
      <c r="C30" s="35" t="s">
        <v>44</v>
      </c>
      <c r="D30" s="58"/>
      <c r="E30" s="27"/>
      <c r="F30" s="30"/>
      <c r="G30" s="30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3"/>
      <c r="AS30" s="8"/>
      <c r="AT30" s="54"/>
      <c r="AU30" s="56"/>
    </row>
    <row r="31" spans="3:47" ht="21" customHeight="1">
      <c r="C31" s="33" t="s">
        <v>51</v>
      </c>
      <c r="D31" s="58" t="s">
        <v>12</v>
      </c>
      <c r="E31" s="27">
        <v>1</v>
      </c>
      <c r="F31" s="30">
        <v>46062</v>
      </c>
      <c r="G31" s="30">
        <v>46069</v>
      </c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3"/>
      <c r="AS31" s="8">
        <f t="shared" si="8"/>
        <v>1</v>
      </c>
      <c r="AT31" s="54">
        <f>AS31*$D$53</f>
        <v>3</v>
      </c>
      <c r="AU31" s="56">
        <f>AT31*$D$54</f>
        <v>45</v>
      </c>
    </row>
    <row r="32" spans="3:47" ht="21" customHeight="1">
      <c r="C32" s="35" t="s">
        <v>45</v>
      </c>
      <c r="D32" s="58"/>
      <c r="E32" s="27"/>
      <c r="F32" s="30"/>
      <c r="G32" s="30"/>
      <c r="H32" s="24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3"/>
      <c r="AS32" s="8"/>
      <c r="AT32" s="54"/>
      <c r="AU32" s="56"/>
    </row>
    <row r="33" spans="3:47" ht="21" customHeight="1">
      <c r="C33" s="33" t="s">
        <v>52</v>
      </c>
      <c r="D33" s="58" t="s">
        <v>12</v>
      </c>
      <c r="E33" s="27">
        <v>1</v>
      </c>
      <c r="F33" s="30">
        <v>46069</v>
      </c>
      <c r="G33" s="30">
        <v>46076</v>
      </c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3"/>
      <c r="AS33" s="8">
        <f t="shared" si="8"/>
        <v>1</v>
      </c>
      <c r="AT33" s="54">
        <f>AS33*$D$53</f>
        <v>3</v>
      </c>
      <c r="AU33" s="56">
        <f>AT33*$D$54</f>
        <v>45</v>
      </c>
    </row>
    <row r="34" spans="3:47" ht="21" customHeight="1">
      <c r="C34" s="35" t="s">
        <v>48</v>
      </c>
      <c r="D34" s="58"/>
      <c r="E34" s="27"/>
      <c r="F34" s="30"/>
      <c r="G34" s="30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3"/>
      <c r="AS34" s="8"/>
      <c r="AT34" s="54"/>
      <c r="AU34" s="56"/>
    </row>
    <row r="35" spans="3:47" ht="21" customHeight="1">
      <c r="C35" s="33" t="s">
        <v>53</v>
      </c>
      <c r="D35" s="58" t="s">
        <v>11</v>
      </c>
      <c r="E35" s="27">
        <v>1</v>
      </c>
      <c r="F35" s="30">
        <v>46076</v>
      </c>
      <c r="G35" s="30">
        <v>46083</v>
      </c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3"/>
      <c r="AS35" s="8">
        <f t="shared" ref="AS35" si="9">INT((G35-F35)/7)</f>
        <v>1</v>
      </c>
      <c r="AT35" s="54">
        <f t="shared" ref="AT35:AT43" si="10">AS35*$D$53</f>
        <v>3</v>
      </c>
      <c r="AU35" s="56">
        <f t="shared" ref="AU35:AU43" si="11">AT35*$D$54</f>
        <v>45</v>
      </c>
    </row>
    <row r="36" spans="3:47" ht="21" customHeight="1">
      <c r="C36" s="33" t="s">
        <v>55</v>
      </c>
      <c r="D36" s="58" t="s">
        <v>12</v>
      </c>
      <c r="E36" s="27">
        <v>1</v>
      </c>
      <c r="F36" s="30">
        <v>46083</v>
      </c>
      <c r="G36" s="30">
        <v>46090</v>
      </c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3"/>
      <c r="AS36" s="8">
        <f t="shared" ref="AS36" si="12">INT((G36-F36)/7)</f>
        <v>1</v>
      </c>
      <c r="AT36" s="54">
        <f t="shared" si="10"/>
        <v>3</v>
      </c>
      <c r="AU36" s="56">
        <f t="shared" si="11"/>
        <v>45</v>
      </c>
    </row>
    <row r="37" spans="3:47" ht="25" customHeight="1">
      <c r="C37" s="35" t="s">
        <v>7</v>
      </c>
      <c r="D37" s="35"/>
      <c r="E37" s="31"/>
      <c r="F37" s="32"/>
      <c r="G37" s="32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3"/>
      <c r="AS37" s="8">
        <f t="shared" si="0"/>
        <v>0</v>
      </c>
      <c r="AT37" s="54">
        <f t="shared" si="10"/>
        <v>0</v>
      </c>
      <c r="AU37" s="56">
        <f t="shared" si="11"/>
        <v>0</v>
      </c>
    </row>
    <row r="38" spans="3:47" ht="21" customHeight="1">
      <c r="C38" s="33" t="s">
        <v>63</v>
      </c>
      <c r="D38" s="58" t="s">
        <v>28</v>
      </c>
      <c r="E38" s="27">
        <v>1</v>
      </c>
      <c r="F38" s="30">
        <v>46090</v>
      </c>
      <c r="G38" s="30">
        <v>46097</v>
      </c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3"/>
      <c r="AS38" s="8">
        <f t="shared" si="0"/>
        <v>1</v>
      </c>
      <c r="AT38" s="54">
        <f t="shared" si="10"/>
        <v>3</v>
      </c>
      <c r="AU38" s="56">
        <f t="shared" si="11"/>
        <v>45</v>
      </c>
    </row>
    <row r="39" spans="3:47" ht="21" customHeight="1">
      <c r="C39" s="33" t="s">
        <v>54</v>
      </c>
      <c r="D39" s="58" t="s">
        <v>11</v>
      </c>
      <c r="E39" s="27">
        <v>1</v>
      </c>
      <c r="F39" s="30">
        <v>46097</v>
      </c>
      <c r="G39" s="30">
        <v>46104</v>
      </c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3"/>
      <c r="AS39" s="8">
        <f t="shared" si="0"/>
        <v>1</v>
      </c>
      <c r="AT39" s="54">
        <f t="shared" si="10"/>
        <v>3</v>
      </c>
      <c r="AU39" s="56">
        <f t="shared" si="11"/>
        <v>45</v>
      </c>
    </row>
    <row r="40" spans="3:47" ht="25" customHeight="1">
      <c r="C40" s="35" t="s">
        <v>8</v>
      </c>
      <c r="D40" s="35"/>
      <c r="E40" s="31"/>
      <c r="F40" s="26"/>
      <c r="G40" s="26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3"/>
      <c r="AS40" s="8">
        <f t="shared" si="0"/>
        <v>0</v>
      </c>
      <c r="AT40" s="54">
        <f t="shared" si="10"/>
        <v>0</v>
      </c>
      <c r="AU40" s="56">
        <f t="shared" si="11"/>
        <v>0</v>
      </c>
    </row>
    <row r="41" spans="3:47" ht="21" customHeight="1">
      <c r="C41" s="33" t="s">
        <v>56</v>
      </c>
      <c r="D41" s="58" t="s">
        <v>11</v>
      </c>
      <c r="E41" s="27">
        <v>1</v>
      </c>
      <c r="F41" s="30">
        <v>46104</v>
      </c>
      <c r="G41" s="30">
        <v>46111</v>
      </c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3"/>
      <c r="AS41" s="8">
        <f t="shared" si="0"/>
        <v>1</v>
      </c>
      <c r="AT41" s="54">
        <f t="shared" si="10"/>
        <v>3</v>
      </c>
      <c r="AU41" s="56">
        <f t="shared" si="11"/>
        <v>45</v>
      </c>
    </row>
    <row r="42" spans="3:47" ht="21" customHeight="1">
      <c r="C42" s="33" t="s">
        <v>57</v>
      </c>
      <c r="D42" s="58" t="s">
        <v>11</v>
      </c>
      <c r="E42" s="27">
        <v>1</v>
      </c>
      <c r="F42" s="30">
        <v>46111</v>
      </c>
      <c r="G42" s="30">
        <v>46118</v>
      </c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3"/>
      <c r="AS42" s="8">
        <f t="shared" si="0"/>
        <v>1</v>
      </c>
      <c r="AT42" s="54">
        <f t="shared" si="10"/>
        <v>3</v>
      </c>
      <c r="AU42" s="56">
        <f t="shared" si="11"/>
        <v>45</v>
      </c>
    </row>
    <row r="43" spans="3:47" ht="21" customHeight="1">
      <c r="C43" s="33" t="s">
        <v>58</v>
      </c>
      <c r="D43" s="58" t="s">
        <v>11</v>
      </c>
      <c r="E43" s="27">
        <v>1</v>
      </c>
      <c r="F43" s="30">
        <v>46118</v>
      </c>
      <c r="G43" s="30">
        <v>46125</v>
      </c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3"/>
      <c r="AS43" s="8">
        <f t="shared" si="0"/>
        <v>1</v>
      </c>
      <c r="AT43" s="54">
        <f t="shared" si="10"/>
        <v>3</v>
      </c>
      <c r="AU43" s="56">
        <f t="shared" si="11"/>
        <v>45</v>
      </c>
    </row>
    <row r="44" spans="3:47">
      <c r="AS44" s="8"/>
      <c r="AT44" s="54"/>
      <c r="AU44" s="56"/>
    </row>
    <row r="45" spans="3:47">
      <c r="AS45" s="8"/>
      <c r="AT45" s="54"/>
      <c r="AU45" s="56"/>
    </row>
    <row r="46" spans="3:47">
      <c r="C46" s="39"/>
      <c r="D46" s="40"/>
      <c r="E46" s="40"/>
      <c r="F46" s="41"/>
      <c r="AS46" s="8"/>
      <c r="AT46" s="54"/>
      <c r="AU46" s="56"/>
    </row>
    <row r="47" spans="3:47" ht="19.5">
      <c r="C47" s="46" t="s">
        <v>16</v>
      </c>
      <c r="D47" s="1" t="s">
        <v>11</v>
      </c>
      <c r="E47" s="59" t="s">
        <v>29</v>
      </c>
      <c r="F47" s="60"/>
      <c r="AS47" s="52">
        <f>SUM(AS8:AS43)</f>
        <v>25</v>
      </c>
      <c r="AT47" s="55">
        <f>SUM(AT8:AT43)</f>
        <v>75</v>
      </c>
      <c r="AU47" s="57">
        <f>SUM(AU8:AU43)</f>
        <v>1125</v>
      </c>
    </row>
    <row r="48" spans="3:47">
      <c r="C48" s="43"/>
      <c r="D48" s="1" t="s">
        <v>12</v>
      </c>
      <c r="E48" s="59" t="s">
        <v>30</v>
      </c>
      <c r="F48" s="60"/>
    </row>
    <row r="49" spans="3:12">
      <c r="C49" s="43"/>
      <c r="D49" s="1" t="s">
        <v>13</v>
      </c>
      <c r="E49" s="59"/>
      <c r="F49" s="60"/>
      <c r="J49" s="2"/>
      <c r="K49" s="2"/>
      <c r="L49" s="2"/>
    </row>
    <row r="50" spans="3:12">
      <c r="C50" s="43"/>
      <c r="D50" s="1" t="s">
        <v>17</v>
      </c>
      <c r="E50" s="59"/>
      <c r="F50" s="60"/>
      <c r="J50" s="2"/>
      <c r="K50" s="2"/>
      <c r="L50" s="2"/>
    </row>
    <row r="51" spans="3:12">
      <c r="C51" s="43"/>
      <c r="D51" s="1"/>
      <c r="E51" s="1"/>
      <c r="F51" s="42"/>
      <c r="J51" s="2"/>
      <c r="K51" s="2"/>
      <c r="L51" s="2"/>
    </row>
    <row r="52" spans="3:12">
      <c r="C52" s="43"/>
      <c r="D52" s="1"/>
      <c r="E52" s="1"/>
      <c r="F52" s="42"/>
      <c r="J52" s="2"/>
      <c r="K52" s="2"/>
      <c r="L52" s="2"/>
    </row>
    <row r="53" spans="3:12">
      <c r="C53" s="51" t="s">
        <v>21</v>
      </c>
      <c r="D53" s="47">
        <v>3</v>
      </c>
      <c r="E53" s="38" t="s">
        <v>22</v>
      </c>
      <c r="F53" s="42"/>
      <c r="J53" s="2"/>
      <c r="K53" s="2"/>
      <c r="L53" s="2"/>
    </row>
    <row r="54" spans="3:12">
      <c r="C54" s="51" t="s">
        <v>20</v>
      </c>
      <c r="D54" s="47">
        <v>15</v>
      </c>
      <c r="E54" s="38" t="s">
        <v>18</v>
      </c>
      <c r="F54" s="42"/>
      <c r="J54" s="2"/>
      <c r="K54" s="2"/>
      <c r="L54" s="2"/>
    </row>
    <row r="55" spans="3:12">
      <c r="C55" s="51" t="s">
        <v>19</v>
      </c>
      <c r="D55">
        <v>25</v>
      </c>
      <c r="E55" s="38" t="s">
        <v>18</v>
      </c>
      <c r="F55" s="48"/>
    </row>
    <row r="56" spans="3:12">
      <c r="C56" s="44"/>
      <c r="D56" s="21"/>
      <c r="E56" s="21"/>
      <c r="F56" s="45"/>
    </row>
  </sheetData>
  <mergeCells count="14">
    <mergeCell ref="V3:Y3"/>
    <mergeCell ref="Z3:AC3"/>
    <mergeCell ref="C2:D2"/>
    <mergeCell ref="AI3:AL3"/>
    <mergeCell ref="AM3:AP3"/>
    <mergeCell ref="I3:L3"/>
    <mergeCell ref="M3:P3"/>
    <mergeCell ref="Q3:T3"/>
    <mergeCell ref="AD3:AG3"/>
    <mergeCell ref="E47:F47"/>
    <mergeCell ref="E48:F48"/>
    <mergeCell ref="E49:F49"/>
    <mergeCell ref="E50:F50"/>
    <mergeCell ref="C3:D3"/>
  </mergeCells>
  <phoneticPr fontId="2" type="noConversion"/>
  <conditionalFormatting sqref="E8:E43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13:V17 Y13:AD17 AG13:AL43 AO13:AP43 W17:X17 I18:AD36 AE36:AE38 I37:V43 Y37:AD43 AF38:AF39">
    <cfRule type="expression" dxfId="2" priority="10">
      <formula>AND(H$5&gt;=$F8,H$5&lt;=$G8)</formula>
    </cfRule>
  </conditionalFormatting>
  <conditionalFormatting sqref="H8:AP8 I9:AP17 I18:AQ43 I5:AQ7 AQ8:AQ17">
    <cfRule type="expression" dxfId="1" priority="13">
      <formula>AND(H$5&lt;=TODAY(), (I$5-7)&lt;=TODAY(),I$5&gt;=TODAY())</formula>
    </cfRule>
  </conditionalFormatting>
  <conditionalFormatting sqref="I8:P11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Cominelli Giorgio</cp:lastModifiedBy>
  <dcterms:created xsi:type="dcterms:W3CDTF">2025-10-22T05:40:21Z</dcterms:created>
  <dcterms:modified xsi:type="dcterms:W3CDTF">2026-04-27T08:18:05Z</dcterms:modified>
</cp:coreProperties>
</file>